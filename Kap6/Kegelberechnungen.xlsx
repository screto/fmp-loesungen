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20907\Tresorit\Gym_Muttenz\03 Mathematik\FMP\FMP-Skript\loesungen\Kap7\"/>
    </mc:Choice>
  </mc:AlternateContent>
  <xr:revisionPtr revIDLastSave="0" documentId="8_{7C77CDBE-0D02-4A65-AAB2-728153518402}" xr6:coauthVersionLast="47" xr6:coauthVersionMax="47" xr10:uidLastSave="{00000000-0000-0000-0000-000000000000}"/>
  <bookViews>
    <workbookView xWindow="-108" yWindow="-108" windowWidth="23256" windowHeight="13896" xr2:uid="{1FAEA734-A97E-40AB-A91A-9B8CB8020C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J5" i="1"/>
  <c r="K5" i="1"/>
  <c r="L5" i="1"/>
  <c r="M5" i="1"/>
  <c r="N5" i="1"/>
  <c r="C6" i="1"/>
  <c r="D6" i="1"/>
  <c r="E6" i="1"/>
  <c r="F6" i="1"/>
  <c r="G6" i="1"/>
  <c r="H6" i="1"/>
  <c r="I6" i="1"/>
  <c r="J6" i="1"/>
  <c r="K6" i="1"/>
  <c r="L6" i="1"/>
  <c r="M6" i="1"/>
  <c r="N6" i="1"/>
  <c r="C7" i="1"/>
  <c r="D7" i="1"/>
  <c r="E7" i="1"/>
  <c r="F7" i="1"/>
  <c r="G7" i="1"/>
  <c r="H7" i="1"/>
  <c r="I7" i="1"/>
  <c r="J7" i="1"/>
  <c r="K7" i="1"/>
  <c r="L7" i="1"/>
  <c r="M7" i="1"/>
  <c r="N7" i="1"/>
  <c r="B7" i="1"/>
  <c r="B6" i="1"/>
  <c r="B5" i="1"/>
</calcChain>
</file>

<file path=xl/sharedStrings.xml><?xml version="1.0" encoding="utf-8"?>
<sst xmlns="http://schemas.openxmlformats.org/spreadsheetml/2006/main" count="19" uniqueCount="19">
  <si>
    <t>s</t>
  </si>
  <si>
    <t>alpha</t>
  </si>
  <si>
    <t>b</t>
  </si>
  <si>
    <t>M</t>
  </si>
  <si>
    <t>V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</si>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</sst>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1" fillId="0" borderId="0" xfId="0" applyNumberFormat="1" applyFont="1"/>
  </cellXfs>
  <cellStyles count="1">
    <cellStyle name="Standard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E6260-A3E2-427E-B612-2068BCF02FDD}" name="Tabelle1" displayName="Tabelle1" ref="A1:N7" totalsRowShown="0" headerRowDxfId="0" dataDxfId="1">
  <autoFilter ref="A1:N7" xr:uid="{EB8E6260-A3E2-427E-B612-2068BCF02FDD}"/>
  <tableColumns count="14">
    <tableColumn id="1" xr3:uid="{B47A5E0E-EC77-4684-9C80-4B87EC8C9555}" name="Spalte1" dataDxfId="15"/>
    <tableColumn id="2" xr3:uid="{A49A0A20-9B69-4157-94B9-53A1B6BC67A9}" name="Spalte2" dataDxfId="14"/>
    <tableColumn id="3" xr3:uid="{0F8ADCDD-B66D-4631-8B59-4E5B27142ABB}" name="Spalte3" dataDxfId="13"/>
    <tableColumn id="4" xr3:uid="{F41DB02D-0D20-4EEB-9414-E3BCD121EA11}" name="Spalte4" dataDxfId="12"/>
    <tableColumn id="5" xr3:uid="{BBF8FBBE-44A7-4FC2-96CB-23FBADE00DD0}" name="Spalte5" dataDxfId="11"/>
    <tableColumn id="6" xr3:uid="{25DC32FE-7E13-4967-B41A-8C8089FF15BA}" name="Spalte6" dataDxfId="10"/>
    <tableColumn id="7" xr3:uid="{D1460D9C-37A1-45C9-BD8D-73CED3F87346}" name="Spalte7" dataDxfId="9"/>
    <tableColumn id="8" xr3:uid="{0AF8514D-E7FF-49B1-B4E5-79450513067B}" name="Spalte8" dataDxfId="8"/>
    <tableColumn id="9" xr3:uid="{2F2B94D2-A0E4-4710-AD63-017263348F04}" name="Spalte9" dataDxfId="7"/>
    <tableColumn id="10" xr3:uid="{38CDE64C-1FC1-4C93-887C-121AD04F7577}" name="Spalte10" dataDxfId="6"/>
    <tableColumn id="11" xr3:uid="{AD6A6252-8042-4933-9E3E-F060B42BA68A}" name="Spalte11" dataDxfId="5"/>
    <tableColumn id="12" xr3:uid="{B4E7358C-049A-415C-ACD2-6592FFA437C7}" name="Spalte12" dataDxfId="4"/>
    <tableColumn id="13" xr3:uid="{09F3DC41-A90E-43B0-86C9-D5B7428F0BCD}" name="Spalte13" dataDxfId="3"/>
    <tableColumn id="14" xr3:uid="{17E28704-CBDB-46AA-A1BD-5B90C48F5AD1}" name="Spalte14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4106-D663-40CE-93C2-D7AA76971F1C}">
  <dimension ref="A1:N7"/>
  <sheetViews>
    <sheetView tabSelected="1" zoomScale="112" workbookViewId="0">
      <selection activeCell="N7" sqref="A3:N7"/>
    </sheetView>
  </sheetViews>
  <sheetFormatPr baseColWidth="10" defaultRowHeight="18" x14ac:dyDescent="0.35"/>
  <cols>
    <col min="1" max="9" width="10.88671875" style="1" customWidth="1"/>
    <col min="10" max="14" width="12.21875" style="1" customWidth="1"/>
  </cols>
  <sheetData>
    <row r="1" spans="1:14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3" spans="1:14" x14ac:dyDescent="0.35">
      <c r="A3" s="1" t="s">
        <v>0</v>
      </c>
      <c r="B3" s="1">
        <v>10</v>
      </c>
      <c r="C3" s="1">
        <v>10</v>
      </c>
      <c r="D3" s="1">
        <v>10</v>
      </c>
      <c r="E3" s="1">
        <v>10</v>
      </c>
      <c r="F3" s="1">
        <v>10</v>
      </c>
      <c r="G3" s="1">
        <v>10</v>
      </c>
      <c r="H3" s="1">
        <v>10</v>
      </c>
      <c r="I3" s="1">
        <v>10</v>
      </c>
      <c r="J3" s="1">
        <v>10</v>
      </c>
      <c r="K3" s="1">
        <v>10</v>
      </c>
      <c r="L3" s="1">
        <v>10</v>
      </c>
      <c r="M3" s="1">
        <v>10</v>
      </c>
      <c r="N3" s="1">
        <v>10</v>
      </c>
    </row>
    <row r="4" spans="1:14" x14ac:dyDescent="0.35">
      <c r="A4" s="1" t="s">
        <v>1</v>
      </c>
      <c r="B4" s="1">
        <v>0</v>
      </c>
      <c r="C4" s="1">
        <v>30</v>
      </c>
      <c r="D4" s="1">
        <v>60</v>
      </c>
      <c r="E4" s="1">
        <v>90</v>
      </c>
      <c r="F4" s="1">
        <v>120</v>
      </c>
      <c r="G4" s="1">
        <v>150</v>
      </c>
      <c r="H4" s="1">
        <v>180</v>
      </c>
      <c r="I4" s="1">
        <v>210</v>
      </c>
      <c r="J4" s="1">
        <v>240</v>
      </c>
      <c r="K4" s="1">
        <v>270</v>
      </c>
      <c r="L4" s="1">
        <v>300</v>
      </c>
      <c r="M4" s="1">
        <v>330</v>
      </c>
      <c r="N4" s="1">
        <v>360</v>
      </c>
    </row>
    <row r="5" spans="1:14" x14ac:dyDescent="0.35">
      <c r="A5" s="1" t="s">
        <v>2</v>
      </c>
      <c r="B5" s="2">
        <f>PI()*B3*B4/180</f>
        <v>0</v>
      </c>
      <c r="C5" s="2">
        <f t="shared" ref="C5:N5" si="0">PI()*C3*C4/180</f>
        <v>5.2359877559829888</v>
      </c>
      <c r="D5" s="2">
        <f t="shared" si="0"/>
        <v>10.471975511965978</v>
      </c>
      <c r="E5" s="2">
        <f t="shared" si="0"/>
        <v>15.707963267948966</v>
      </c>
      <c r="F5" s="2">
        <f t="shared" si="0"/>
        <v>20.943951023931955</v>
      </c>
      <c r="G5" s="2">
        <f t="shared" si="0"/>
        <v>26.179938779914941</v>
      </c>
      <c r="H5" s="2">
        <f t="shared" si="0"/>
        <v>31.415926535897931</v>
      </c>
      <c r="I5" s="2">
        <f t="shared" si="0"/>
        <v>36.651914291880921</v>
      </c>
      <c r="J5" s="2">
        <f t="shared" si="0"/>
        <v>41.887902047863911</v>
      </c>
      <c r="K5" s="2">
        <f t="shared" si="0"/>
        <v>47.1238898038469</v>
      </c>
      <c r="L5" s="2">
        <f t="shared" si="0"/>
        <v>52.359877559829883</v>
      </c>
      <c r="M5" s="2">
        <f t="shared" si="0"/>
        <v>57.59586531581288</v>
      </c>
      <c r="N5" s="2">
        <f t="shared" si="0"/>
        <v>62.831853071795862</v>
      </c>
    </row>
    <row r="6" spans="1:14" x14ac:dyDescent="0.35">
      <c r="A6" s="1" t="s">
        <v>3</v>
      </c>
      <c r="B6" s="2">
        <f>PI()*B3^2*B4/360</f>
        <v>0</v>
      </c>
      <c r="C6" s="2">
        <f t="shared" ref="C6:N6" si="1">PI()*C3^2*C4/360</f>
        <v>26.179938779914941</v>
      </c>
      <c r="D6" s="2">
        <f t="shared" si="1"/>
        <v>52.359877559829883</v>
      </c>
      <c r="E6" s="2">
        <f t="shared" si="1"/>
        <v>78.539816339744831</v>
      </c>
      <c r="F6" s="2">
        <f t="shared" si="1"/>
        <v>104.71975511965977</v>
      </c>
      <c r="G6" s="2">
        <f t="shared" si="1"/>
        <v>130.89969389957471</v>
      </c>
      <c r="H6" s="2">
        <f t="shared" si="1"/>
        <v>157.07963267948966</v>
      </c>
      <c r="I6" s="2">
        <f t="shared" si="1"/>
        <v>183.25957145940458</v>
      </c>
      <c r="J6" s="2">
        <f t="shared" si="1"/>
        <v>209.43951023931953</v>
      </c>
      <c r="K6" s="2">
        <f t="shared" si="1"/>
        <v>235.61944901923448</v>
      </c>
      <c r="L6" s="2">
        <f t="shared" si="1"/>
        <v>261.79938779914943</v>
      </c>
      <c r="M6" s="2">
        <f t="shared" si="1"/>
        <v>287.97932657906438</v>
      </c>
      <c r="N6" s="2">
        <f t="shared" si="1"/>
        <v>314.15926535897933</v>
      </c>
    </row>
    <row r="7" spans="1:14" x14ac:dyDescent="0.35">
      <c r="A7" s="1" t="s">
        <v>4</v>
      </c>
      <c r="B7" s="2">
        <f>PI()/3*B3^2*B4^2/360^2*SQRT(B3^2-B3^2*B4^2/360^2)</f>
        <v>0</v>
      </c>
      <c r="C7" s="2">
        <f t="shared" ref="C7:N7" si="2">PI()/3*C3^2*C4^2/360^2*SQRT(C3^2-C3^2*C4^2/360^2)</f>
        <v>7.2469105131633054</v>
      </c>
      <c r="D7" s="2">
        <f t="shared" si="2"/>
        <v>28.681964173822301</v>
      </c>
      <c r="E7" s="2">
        <f t="shared" si="2"/>
        <v>63.371541812087678</v>
      </c>
      <c r="F7" s="2">
        <f t="shared" si="2"/>
        <v>109.7008132878609</v>
      </c>
      <c r="G7" s="2">
        <f t="shared" si="2"/>
        <v>165.27165238939784</v>
      </c>
      <c r="H7" s="2">
        <f t="shared" si="2"/>
        <v>226.72492052927723</v>
      </c>
      <c r="I7" s="2">
        <f t="shared" si="2"/>
        <v>289.4294787761221</v>
      </c>
      <c r="J7" s="2">
        <f t="shared" si="2"/>
        <v>346.90443116250498</v>
      </c>
      <c r="K7" s="2">
        <f t="shared" si="2"/>
        <v>389.61904134684755</v>
      </c>
      <c r="L7" s="2">
        <f t="shared" si="2"/>
        <v>401.98626836783615</v>
      </c>
      <c r="M7" s="2">
        <f t="shared" si="2"/>
        <v>351.66906613825699</v>
      </c>
      <c r="N7" s="2">
        <f t="shared" si="2"/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Schwander, Reto (GymMU)</dc:creator>
  <cp:lastModifiedBy>Schwander, Reto (GymMU)</cp:lastModifiedBy>
  <dcterms:created xsi:type="dcterms:W3CDTF">2026-03-19T14:04:04Z</dcterms:created>
  <dcterms:modified xsi:type="dcterms:W3CDTF">2026-03-19T14:55:47Z</dcterms:modified>
</cp:coreProperties>
</file>